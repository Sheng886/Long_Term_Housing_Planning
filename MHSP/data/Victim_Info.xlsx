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Yin\Desktop\bay\Long_Term_Housing_Planning\baseline_model\data\"/>
    </mc:Choice>
  </mc:AlternateContent>
  <xr:revisionPtr revIDLastSave="0" documentId="13_ncr:1_{A54CF1C9-A2CB-4CEB-BA11-3C2E88BA0F08}" xr6:coauthVersionLast="47" xr6:coauthVersionMax="47" xr10:uidLastSave="{00000000-0000-0000-0000-000000000000}"/>
  <bookViews>
    <workbookView xWindow="1068" yWindow="-108" windowWidth="29760" windowHeight="174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2" i="1" l="1"/>
  <c r="L2" i="1"/>
  <c r="K2" i="1"/>
  <c r="J2" i="1"/>
  <c r="I2" i="1"/>
  <c r="H2" i="1"/>
  <c r="G2" i="1"/>
  <c r="F2" i="1"/>
  <c r="E2" i="1"/>
  <c r="D2" i="1"/>
  <c r="C2" i="1"/>
  <c r="B2" i="1"/>
</calcChain>
</file>

<file path=xl/sharedStrings.xml><?xml version="1.0" encoding="utf-8"?>
<sst xmlns="http://schemas.openxmlformats.org/spreadsheetml/2006/main" count="14" uniqueCount="14">
  <si>
    <t>group</t>
  </si>
  <si>
    <t>CU_g</t>
  </si>
  <si>
    <t>CC_C18_NP</t>
  </si>
  <si>
    <t>CC_C18_P</t>
  </si>
  <si>
    <t>CC_NC18_NP</t>
  </si>
  <si>
    <t>CC_NC18_P</t>
  </si>
  <si>
    <t>CC_65_NP</t>
  </si>
  <si>
    <t>CC_65_P</t>
  </si>
  <si>
    <t>S_C18_NP</t>
  </si>
  <si>
    <t>S_C18_P</t>
  </si>
  <si>
    <t>S_NC18_NP</t>
  </si>
  <si>
    <t>S_NC18_P</t>
  </si>
  <si>
    <t>S_65_NP</t>
  </si>
  <si>
    <t>S_65_P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</si>
</sst>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D22" sqref="D22"/>
    </sheetView>
  </sheetViews>
  <sheetFormatPr defaultColWidth="9.109375" defaultRowHeight="14.4" x14ac:dyDescent="0.3"/>
  <cols>
    <col min="1" max="1" width="13.88671875" style="1" bestFit="1" customWidth="1"/>
    <col min="2" max="7" width="11.44140625" style="1" bestFit="1" customWidth="1"/>
    <col min="8" max="8" width="9.109375" style="1"/>
    <col min="9" max="9" width="11.44140625" style="1" bestFit="1" customWidth="1"/>
    <col min="10" max="16384" width="9.109375" style="1"/>
  </cols>
  <sheetData>
    <row r="1" spans="1:13" x14ac:dyDescent="0.3">
      <c r="A1" s="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 x14ac:dyDescent="0.3">
      <c r="A2" s="1" t="s">
        <v>1</v>
      </c>
      <c r="B2" s="1">
        <f>800000*2.25</f>
        <v>1800000</v>
      </c>
      <c r="C2" s="1">
        <f>800000*2.7</f>
        <v>2160000</v>
      </c>
      <c r="D2" s="1">
        <f>80000*1.65</f>
        <v>132000</v>
      </c>
      <c r="E2" s="1">
        <f>80000*2.5</f>
        <v>200000</v>
      </c>
      <c r="F2" s="1">
        <f>80000*2</f>
        <v>160000</v>
      </c>
      <c r="G2" s="1">
        <f>80000*2</f>
        <v>160000</v>
      </c>
      <c r="H2" s="1">
        <f>80000*2.7</f>
        <v>216000</v>
      </c>
      <c r="I2" s="1">
        <f>80000*2.7</f>
        <v>216000</v>
      </c>
      <c r="J2" s="1">
        <f>80000*1.5</f>
        <v>120000</v>
      </c>
      <c r="K2" s="1">
        <f>80000*2.25</f>
        <v>180000</v>
      </c>
      <c r="L2" s="1">
        <f>80000*2</f>
        <v>160000</v>
      </c>
      <c r="M2" s="1">
        <f>80000*2</f>
        <v>160000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 Yin Chen</dc:creator>
  <cp:lastModifiedBy>Sheng Yin Chen</cp:lastModifiedBy>
  <dcterms:created xsi:type="dcterms:W3CDTF">2015-06-05T18:17:20Z</dcterms:created>
  <dcterms:modified xsi:type="dcterms:W3CDTF">2024-04-09T22:32:20Z</dcterms:modified>
</cp:coreProperties>
</file>