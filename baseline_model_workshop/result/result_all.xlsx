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shengyc\Documents\GitHub\Long_Term_Housing_Planning\baseline_model_workshop\result\"/>
    </mc:Choice>
  </mc:AlternateContent>
  <xr:revisionPtr revIDLastSave="0" documentId="13_ncr:1_{C354485C-196C-42F5-BB87-B277FE9D3909}" xr6:coauthVersionLast="47" xr6:coauthVersionMax="47" xr10:uidLastSave="{00000000-0000-0000-0000-000000000000}"/>
  <bookViews>
    <workbookView xWindow="28680" yWindow="-120" windowWidth="24240" windowHeight="13740" activeTab="2" xr2:uid="{00000000-000D-0000-FFFF-FFFF00000000}"/>
  </bookViews>
  <sheets>
    <sheet name="Model" sheetId="2" r:id="rId1"/>
    <sheet name="Sensitive_shortage" sheetId="1" r:id="rId2"/>
    <sheet name="Fairness" sheetId="3" r:id="rId3"/>
    <sheet name="Fairness_percenta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B4" i="3"/>
  <c r="J4" i="3" s="1"/>
  <c r="B2" i="3"/>
  <c r="H2" i="3" s="1"/>
  <c r="B3" i="3"/>
  <c r="F3" i="3" s="1"/>
  <c r="B2" i="1"/>
  <c r="J2" i="1" s="1"/>
  <c r="B3" i="1"/>
  <c r="F3" i="1" s="1"/>
  <c r="B5" i="1"/>
  <c r="F5" i="1" s="1"/>
  <c r="B6" i="1"/>
  <c r="J6" i="1" s="1"/>
  <c r="B4" i="1"/>
  <c r="D4" i="1" s="1"/>
  <c r="J3" i="2"/>
  <c r="J4" i="2"/>
  <c r="J2" i="2"/>
  <c r="H2" i="2"/>
  <c r="H3" i="2"/>
  <c r="H4" i="2"/>
  <c r="F3" i="2"/>
  <c r="F4" i="2"/>
  <c r="F2" i="2"/>
  <c r="D3" i="2"/>
  <c r="D4" i="2"/>
  <c r="D2" i="2"/>
  <c r="B3" i="2"/>
  <c r="B4" i="2"/>
  <c r="B2" i="2"/>
  <c r="J4" i="1"/>
  <c r="H3" i="3" l="1"/>
  <c r="J3" i="3"/>
  <c r="J2" i="3"/>
  <c r="D4" i="3"/>
  <c r="D2" i="3"/>
  <c r="F4" i="3"/>
  <c r="D3" i="3"/>
  <c r="F2" i="3"/>
  <c r="J5" i="1"/>
  <c r="D5" i="1"/>
  <c r="H6" i="1"/>
  <c r="H5" i="1"/>
  <c r="H2" i="1"/>
  <c r="D2" i="1"/>
  <c r="J3" i="1"/>
  <c r="D3" i="1"/>
  <c r="H3" i="1"/>
  <c r="F2" i="1"/>
  <c r="F6" i="1"/>
  <c r="D6" i="1"/>
  <c r="H4" i="1"/>
  <c r="F4" i="1"/>
</calcChain>
</file>

<file path=xl/sharedStrings.xml><?xml version="1.0" encoding="utf-8"?>
<sst xmlns="http://schemas.openxmlformats.org/spreadsheetml/2006/main" count="43" uniqueCount="20">
  <si>
    <t>Operation_Cost</t>
  </si>
  <si>
    <t>Holding_Cost</t>
  </si>
  <si>
    <t>Unmet_Cost</t>
  </si>
  <si>
    <t>Replenish_Cost</t>
  </si>
  <si>
    <t>factor</t>
  </si>
  <si>
    <t>Operation_Cost_per</t>
  </si>
  <si>
    <t>Holding_Cost_per</t>
  </si>
  <si>
    <t>Unmet_Cost_per</t>
  </si>
  <si>
    <t>Replenish_Cost_per</t>
  </si>
  <si>
    <t>Model</t>
  </si>
  <si>
    <t>Baseline</t>
  </si>
  <si>
    <t>AVG</t>
  </si>
  <si>
    <t>Perfect</t>
  </si>
  <si>
    <t>Total Cost</t>
  </si>
  <si>
    <t>Total_Cost</t>
  </si>
  <si>
    <t>Fairness</t>
  </si>
  <si>
    <t>-</t>
  </si>
  <si>
    <t>Group</t>
  </si>
  <si>
    <t>Region</t>
  </si>
  <si>
    <t>County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</si>
</sst>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Font="1" applyAlignment="1">
      <alignment horizontal="center"/>
    </xf>
    <xf numFmtId="1" fontId="0" fillId="0" borderId="0" xfId="0" applyNumberFormat="1"/>
    <xf numFmtId="167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1310B-BBCA-4657-8430-EE9ED976BD3D}">
  <dimension ref="A1:J4"/>
  <sheetViews>
    <sheetView zoomScale="140" zoomScaleNormal="140" workbookViewId="0">
      <selection sqref="A1:J4"/>
    </sheetView>
  </sheetViews>
  <sheetFormatPr defaultRowHeight="15" x14ac:dyDescent="0.25"/>
  <cols>
    <col min="1" max="1" width="8.5703125" style="1" bestFit="1" customWidth="1"/>
    <col min="2" max="2" width="14.5703125" style="1" bestFit="1" customWidth="1"/>
    <col min="3" max="3" width="15" style="1" bestFit="1" customWidth="1"/>
    <col min="4" max="4" width="19.140625" style="1" bestFit="1" customWidth="1"/>
    <col min="5" max="5" width="14.5703125" style="1" bestFit="1" customWidth="1"/>
    <col min="6" max="6" width="16.85546875" style="1" bestFit="1" customWidth="1"/>
    <col min="7" max="7" width="11.85546875" style="1" bestFit="1" customWidth="1"/>
    <col min="8" max="8" width="16" style="1" bestFit="1" customWidth="1"/>
    <col min="9" max="9" width="14.85546875" style="1" bestFit="1" customWidth="1"/>
    <col min="10" max="10" width="19" style="1" bestFit="1" customWidth="1"/>
    <col min="11" max="16384" width="9.140625" style="1"/>
  </cols>
  <sheetData>
    <row r="1" spans="1:10" x14ac:dyDescent="0.25">
      <c r="A1" s="1" t="s">
        <v>9</v>
      </c>
      <c r="B1" s="1" t="s">
        <v>13</v>
      </c>
      <c r="C1" s="1" t="s">
        <v>0</v>
      </c>
      <c r="D1" s="1" t="s">
        <v>5</v>
      </c>
      <c r="E1" s="1" t="s">
        <v>1</v>
      </c>
      <c r="F1" s="1" t="s">
        <v>6</v>
      </c>
      <c r="G1" s="1" t="s">
        <v>2</v>
      </c>
      <c r="H1" s="1" t="s">
        <v>7</v>
      </c>
      <c r="I1" s="1" t="s">
        <v>3</v>
      </c>
      <c r="J1" s="1" t="s">
        <v>8</v>
      </c>
    </row>
    <row r="2" spans="1:10" x14ac:dyDescent="0.25">
      <c r="A2" s="1" t="s">
        <v>12</v>
      </c>
      <c r="B2" s="2">
        <f>I2+G2+E2+C2</f>
        <v>958789573.82273269</v>
      </c>
      <c r="C2" s="2">
        <v>75921419.235589802</v>
      </c>
      <c r="D2" s="3">
        <f>C2/B2</f>
        <v>7.9184652512321388E-2</v>
      </c>
      <c r="E2" s="2">
        <v>55720893.420000002</v>
      </c>
      <c r="F2" s="3">
        <f>E2/B2</f>
        <v>5.8115873327489943E-2</v>
      </c>
      <c r="G2" s="2">
        <v>0</v>
      </c>
      <c r="H2" s="3">
        <f>G2/B2</f>
        <v>0</v>
      </c>
      <c r="I2" s="2">
        <v>827147261.16714299</v>
      </c>
      <c r="J2" s="3">
        <f>I2/B2</f>
        <v>0.86269947416018877</v>
      </c>
    </row>
    <row r="3" spans="1:10" x14ac:dyDescent="0.25">
      <c r="A3" s="1" t="s">
        <v>10</v>
      </c>
      <c r="B3" s="2">
        <f t="shared" ref="B3:B4" si="0">I3+G3+E3+C3</f>
        <v>1011630832.5484484</v>
      </c>
      <c r="C3" s="2">
        <v>72677394.593070507</v>
      </c>
      <c r="D3" s="3">
        <f t="shared" ref="D3:D4" si="1">C3/B3</f>
        <v>7.1841814478889834E-2</v>
      </c>
      <c r="E3" s="2">
        <v>88052852.699999899</v>
      </c>
      <c r="F3" s="3">
        <f t="shared" ref="F3:F4" si="2">E3/B3</f>
        <v>8.7040499228539403E-2</v>
      </c>
      <c r="G3" s="2">
        <v>58894440</v>
      </c>
      <c r="H3" s="3">
        <f>G3/B3</f>
        <v>5.8217324052526304E-2</v>
      </c>
      <c r="I3" s="2">
        <v>792006145.25537801</v>
      </c>
      <c r="J3" s="3">
        <f t="shared" ref="J3:J4" si="3">I3/B3</f>
        <v>0.78290036224004445</v>
      </c>
    </row>
    <row r="4" spans="1:10" x14ac:dyDescent="0.25">
      <c r="A4" s="1" t="s">
        <v>11</v>
      </c>
      <c r="B4" s="2">
        <f t="shared" si="0"/>
        <v>264860603553.50073</v>
      </c>
      <c r="C4" s="2">
        <v>75921419.235589802</v>
      </c>
      <c r="D4" s="3">
        <f t="shared" si="1"/>
        <v>2.8664670478353719E-4</v>
      </c>
      <c r="E4" s="2">
        <v>263957534873.09799</v>
      </c>
      <c r="F4" s="3">
        <f t="shared" si="2"/>
        <v>0.99659040012638078</v>
      </c>
      <c r="G4" s="2">
        <v>0</v>
      </c>
      <c r="H4" s="3">
        <f t="shared" ref="H3:H4" si="4">G4/C4</f>
        <v>0</v>
      </c>
      <c r="I4" s="2">
        <v>827147261.16715801</v>
      </c>
      <c r="J4" s="3">
        <f t="shared" si="3"/>
        <v>3.1229531688357634E-3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zoomScale="145" zoomScaleNormal="145" workbookViewId="0">
      <selection activeCell="B21" sqref="B21"/>
    </sheetView>
  </sheetViews>
  <sheetFormatPr defaultRowHeight="15" x14ac:dyDescent="0.25"/>
  <cols>
    <col min="1" max="1" width="6.140625" bestFit="1" customWidth="1"/>
    <col min="2" max="2" width="12" bestFit="1" customWidth="1"/>
    <col min="3" max="3" width="15" bestFit="1" customWidth="1"/>
    <col min="4" max="4" width="19.85546875" bestFit="1" customWidth="1"/>
    <col min="5" max="5" width="12.7109375" bestFit="1" customWidth="1"/>
    <col min="6" max="6" width="17.7109375" bestFit="1" customWidth="1"/>
    <col min="7" max="7" width="12" bestFit="1" customWidth="1"/>
    <col min="8" max="8" width="16.7109375" bestFit="1" customWidth="1"/>
    <col min="9" max="9" width="14.85546875" bestFit="1" customWidth="1"/>
    <col min="10" max="10" width="14.85546875" customWidth="1"/>
  </cols>
  <sheetData>
    <row r="1" spans="1:10" x14ac:dyDescent="0.25">
      <c r="A1" s="1" t="s">
        <v>4</v>
      </c>
      <c r="B1" s="1" t="s">
        <v>14</v>
      </c>
      <c r="C1" s="1" t="s">
        <v>0</v>
      </c>
      <c r="D1" s="1" t="s">
        <v>5</v>
      </c>
      <c r="E1" s="1" t="s">
        <v>1</v>
      </c>
      <c r="F1" s="1" t="s">
        <v>6</v>
      </c>
      <c r="G1" s="1" t="s">
        <v>2</v>
      </c>
      <c r="H1" s="1" t="s">
        <v>7</v>
      </c>
      <c r="I1" s="1" t="s">
        <v>3</v>
      </c>
      <c r="J1" s="1" t="s">
        <v>8</v>
      </c>
    </row>
    <row r="2" spans="1:10" x14ac:dyDescent="0.25">
      <c r="A2" s="1">
        <v>0.2</v>
      </c>
      <c r="B2" s="2">
        <f t="shared" ref="B2:B3" si="0">C2+E2+G2+I2</f>
        <v>459626594.45667988</v>
      </c>
      <c r="C2" s="2">
        <v>13389520.518529899</v>
      </c>
      <c r="D2" s="3">
        <f>C2/B2</f>
        <v>2.9131300668877789E-2</v>
      </c>
      <c r="E2" s="2">
        <v>22142870.039999999</v>
      </c>
      <c r="F2" s="4">
        <f>E2/B2</f>
        <v>4.8175780746923205E-2</v>
      </c>
      <c r="G2" s="2">
        <v>277651538.39999998</v>
      </c>
      <c r="H2" s="4">
        <f>G2/B2</f>
        <v>0.6040806640621158</v>
      </c>
      <c r="I2" s="2">
        <v>146442665.49814999</v>
      </c>
      <c r="J2" s="4">
        <f>I2/B2</f>
        <v>0.31861225452208319</v>
      </c>
    </row>
    <row r="3" spans="1:10" x14ac:dyDescent="0.25">
      <c r="A3" s="1">
        <v>0.5</v>
      </c>
      <c r="B3" s="2">
        <f t="shared" si="0"/>
        <v>888819539.91536665</v>
      </c>
      <c r="C3" s="2">
        <v>51755575.382894702</v>
      </c>
      <c r="D3" s="3">
        <f t="shared" ref="D3:D6" si="1">C3/B3</f>
        <v>5.8229565236406558E-2</v>
      </c>
      <c r="E3" s="2">
        <v>40708447.499999903</v>
      </c>
      <c r="F3" s="4">
        <f t="shared" ref="F3:F6" si="2">E3/B3</f>
        <v>4.5800576688352461E-2</v>
      </c>
      <c r="G3" s="2">
        <v>231913958</v>
      </c>
      <c r="H3" s="4">
        <f t="shared" ref="H3:H6" si="3">G3/B3</f>
        <v>0.26092355937863704</v>
      </c>
      <c r="I3" s="2">
        <v>564441559.03247201</v>
      </c>
      <c r="J3" s="4">
        <f t="shared" ref="J3:J6" si="4">I3/B3</f>
        <v>0.63504629869660389</v>
      </c>
    </row>
    <row r="4" spans="1:10" x14ac:dyDescent="0.25">
      <c r="A4" s="1">
        <v>1</v>
      </c>
      <c r="B4" s="2">
        <f>C4+E4+G4+I4</f>
        <v>1011630832.5484484</v>
      </c>
      <c r="C4" s="2">
        <v>72677394.593070507</v>
      </c>
      <c r="D4" s="3">
        <f t="shared" si="1"/>
        <v>7.1841814478889834E-2</v>
      </c>
      <c r="E4" s="2">
        <v>88052852.699999899</v>
      </c>
      <c r="F4" s="4">
        <f t="shared" si="2"/>
        <v>8.7040499228539403E-2</v>
      </c>
      <c r="G4" s="2">
        <v>58894440</v>
      </c>
      <c r="H4" s="4">
        <f t="shared" si="3"/>
        <v>5.8217324052526304E-2</v>
      </c>
      <c r="I4" s="2">
        <v>792006145.25537801</v>
      </c>
      <c r="J4" s="4">
        <f t="shared" si="4"/>
        <v>0.78290036224004445</v>
      </c>
    </row>
    <row r="5" spans="1:10" x14ac:dyDescent="0.25">
      <c r="A5" s="1">
        <v>2</v>
      </c>
      <c r="B5" s="2">
        <f t="shared" ref="B5:B6" si="5">C5+E5+G5+I5</f>
        <v>1030016833.1027318</v>
      </c>
      <c r="C5" s="2">
        <v>75921419.235589802</v>
      </c>
      <c r="D5" s="3">
        <f t="shared" si="1"/>
        <v>7.3708911151374887E-2</v>
      </c>
      <c r="E5" s="2">
        <v>126948152.7</v>
      </c>
      <c r="F5" s="4">
        <f t="shared" si="2"/>
        <v>0.12324861945954085</v>
      </c>
      <c r="G5" s="2">
        <v>0</v>
      </c>
      <c r="H5" s="4">
        <f t="shared" si="3"/>
        <v>0</v>
      </c>
      <c r="I5" s="2">
        <v>827147261.16714203</v>
      </c>
      <c r="J5" s="4">
        <f t="shared" si="4"/>
        <v>0.8030424693890843</v>
      </c>
    </row>
    <row r="6" spans="1:10" x14ac:dyDescent="0.25">
      <c r="A6" s="1">
        <v>5</v>
      </c>
      <c r="B6" s="2">
        <f t="shared" si="5"/>
        <v>1030016833.1027318</v>
      </c>
      <c r="C6" s="2">
        <v>75921419.235589802</v>
      </c>
      <c r="D6" s="3">
        <f t="shared" si="1"/>
        <v>7.3708911151374887E-2</v>
      </c>
      <c r="E6" s="2">
        <v>126948152.7</v>
      </c>
      <c r="F6" s="4">
        <f t="shared" si="2"/>
        <v>0.12324861945954085</v>
      </c>
      <c r="G6" s="2">
        <v>0</v>
      </c>
      <c r="H6" s="4">
        <f t="shared" si="3"/>
        <v>0</v>
      </c>
      <c r="I6" s="2">
        <v>827147261.16714203</v>
      </c>
      <c r="J6" s="4">
        <f t="shared" si="4"/>
        <v>0.8030424693890843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507-B5AA-4412-B2C5-12DBBE5F4A42}">
  <dimension ref="A1:J9"/>
  <sheetViews>
    <sheetView tabSelected="1" zoomScale="145" zoomScaleNormal="145" workbookViewId="0">
      <selection activeCell="G8" sqref="G8"/>
    </sheetView>
  </sheetViews>
  <sheetFormatPr defaultRowHeight="15" x14ac:dyDescent="0.25"/>
  <cols>
    <col min="1" max="1" width="8.5703125" bestFit="1" customWidth="1"/>
    <col min="2" max="2" width="14" bestFit="1" customWidth="1"/>
    <col min="3" max="3" width="15" bestFit="1" customWidth="1"/>
    <col min="4" max="4" width="19.140625" bestFit="1" customWidth="1"/>
    <col min="5" max="5" width="14" bestFit="1" customWidth="1"/>
    <col min="6" max="6" width="16.85546875" bestFit="1" customWidth="1"/>
    <col min="7" max="7" width="11.85546875" bestFit="1" customWidth="1"/>
    <col min="8" max="8" width="16" bestFit="1" customWidth="1"/>
    <col min="9" max="9" width="14.85546875" bestFit="1" customWidth="1"/>
    <col min="10" max="10" width="19" bestFit="1" customWidth="1"/>
  </cols>
  <sheetData>
    <row r="1" spans="1:10" x14ac:dyDescent="0.25">
      <c r="A1" s="1" t="s">
        <v>15</v>
      </c>
      <c r="B1" s="1" t="s">
        <v>13</v>
      </c>
      <c r="C1" s="1" t="s">
        <v>0</v>
      </c>
      <c r="D1" s="1" t="s">
        <v>5</v>
      </c>
      <c r="E1" s="1" t="s">
        <v>1</v>
      </c>
      <c r="F1" s="1" t="s">
        <v>6</v>
      </c>
      <c r="G1" s="1" t="s">
        <v>2</v>
      </c>
      <c r="H1" s="1" t="s">
        <v>7</v>
      </c>
      <c r="I1" s="1" t="s">
        <v>3</v>
      </c>
      <c r="J1" s="1" t="s">
        <v>8</v>
      </c>
    </row>
    <row r="2" spans="1:10" x14ac:dyDescent="0.25">
      <c r="A2" s="1" t="s">
        <v>16</v>
      </c>
      <c r="B2" s="2">
        <f>I2+G2+E2+C2</f>
        <v>1011630832.5484484</v>
      </c>
      <c r="C2" s="2">
        <v>72677394.593070507</v>
      </c>
      <c r="D2" s="3">
        <f>C2/B2</f>
        <v>7.1841814478889834E-2</v>
      </c>
      <c r="E2" s="2">
        <v>88052852.699999899</v>
      </c>
      <c r="F2" s="3">
        <f>E2/B2</f>
        <v>8.7040499228539403E-2</v>
      </c>
      <c r="G2" s="2">
        <v>58894440</v>
      </c>
      <c r="H2" s="3">
        <f>G2/B2</f>
        <v>5.8217324052526304E-2</v>
      </c>
      <c r="I2" s="2">
        <v>792006145.25537801</v>
      </c>
      <c r="J2" s="3">
        <f>I2/B2</f>
        <v>0.78290036224004445</v>
      </c>
    </row>
    <row r="3" spans="1:10" x14ac:dyDescent="0.25">
      <c r="A3" s="1" t="s">
        <v>17</v>
      </c>
      <c r="B3" s="2">
        <f>I3+G3+E3+C3</f>
        <v>1030016833.1027329</v>
      </c>
      <c r="C3" s="2">
        <v>75921419.235589907</v>
      </c>
      <c r="D3" s="3">
        <f>C3/B3</f>
        <v>7.3708911151374915E-2</v>
      </c>
      <c r="E3" s="2">
        <v>126948152.7</v>
      </c>
      <c r="F3" s="3">
        <f>E3/B3</f>
        <v>0.12324861945954073</v>
      </c>
      <c r="G3" s="2">
        <v>0</v>
      </c>
      <c r="H3" s="3">
        <f>G3/B3</f>
        <v>0</v>
      </c>
      <c r="I3" s="2">
        <v>827147261.16714299</v>
      </c>
      <c r="J3" s="3">
        <f>I3/B3</f>
        <v>0.8030424693890843</v>
      </c>
    </row>
    <row r="4" spans="1:10" x14ac:dyDescent="0.25">
      <c r="A4" s="1" t="s">
        <v>18</v>
      </c>
      <c r="B4" s="2">
        <f t="shared" ref="B4" si="0">I4+G4+E4+C4</f>
        <v>1011899999.7116258</v>
      </c>
      <c r="C4" s="2">
        <v>72698451.924412295</v>
      </c>
      <c r="D4" s="3">
        <f t="shared" ref="D4" si="1">C4/B4</f>
        <v>7.1843514127018587E-2</v>
      </c>
      <c r="E4" s="2">
        <v>88080897.060000002</v>
      </c>
      <c r="F4" s="3">
        <f t="shared" ref="F4" si="2">E4/B4</f>
        <v>8.7045060860857351E-2</v>
      </c>
      <c r="G4" s="2">
        <v>59114505.471834697</v>
      </c>
      <c r="H4" s="3">
        <f>G4/B4</f>
        <v>5.8419315632652749E-2</v>
      </c>
      <c r="I4" s="2">
        <v>792006145.25537896</v>
      </c>
      <c r="J4" s="3">
        <f t="shared" ref="J4" si="3">I4/B4</f>
        <v>0.78269210937947142</v>
      </c>
    </row>
    <row r="9" spans="1:10" x14ac:dyDescent="0.25">
      <c r="B9" s="5"/>
      <c r="C9" s="5"/>
      <c r="D9" s="5"/>
      <c r="E9" s="5"/>
      <c r="F9" s="5"/>
      <c r="G9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DEDB-5048-49DF-86F9-4DCBDC438843}">
  <dimension ref="A1:AU8"/>
  <sheetViews>
    <sheetView workbookViewId="0">
      <selection activeCell="H24" sqref="H24"/>
    </sheetView>
  </sheetViews>
  <sheetFormatPr defaultRowHeight="15" x14ac:dyDescent="0.25"/>
  <cols>
    <col min="1" max="16384" width="9.140625" style="1"/>
  </cols>
  <sheetData>
    <row r="1" spans="1:47" x14ac:dyDescent="0.25">
      <c r="A1" s="8" t="s">
        <v>18</v>
      </c>
    </row>
    <row r="2" spans="1:47" x14ac:dyDescent="0.25">
      <c r="A2" s="1" t="s">
        <v>19</v>
      </c>
      <c r="B2" s="1">
        <v>0</v>
      </c>
      <c r="C2" s="1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 s="1">
        <v>7</v>
      </c>
      <c r="J2" s="1">
        <v>8</v>
      </c>
      <c r="K2" s="1">
        <v>9</v>
      </c>
      <c r="L2" s="1">
        <v>10</v>
      </c>
      <c r="M2" s="1">
        <v>11</v>
      </c>
      <c r="N2" s="1">
        <v>12</v>
      </c>
      <c r="O2" s="1">
        <v>13</v>
      </c>
      <c r="P2" s="1">
        <v>14</v>
      </c>
      <c r="Q2" s="1">
        <v>15</v>
      </c>
      <c r="R2" s="1">
        <v>16</v>
      </c>
      <c r="S2" s="1">
        <v>17</v>
      </c>
      <c r="T2" s="1">
        <v>18</v>
      </c>
      <c r="U2" s="1">
        <v>19</v>
      </c>
      <c r="V2" s="1">
        <v>20</v>
      </c>
      <c r="W2" s="1">
        <v>21</v>
      </c>
      <c r="X2" s="1">
        <v>22</v>
      </c>
      <c r="Y2" s="1">
        <v>23</v>
      </c>
      <c r="Z2" s="1">
        <v>24</v>
      </c>
      <c r="AA2" s="1">
        <v>25</v>
      </c>
      <c r="AB2" s="1">
        <v>26</v>
      </c>
      <c r="AC2" s="1">
        <v>27</v>
      </c>
      <c r="AD2" s="1">
        <v>28</v>
      </c>
      <c r="AE2" s="1">
        <v>29</v>
      </c>
      <c r="AF2" s="1">
        <v>30</v>
      </c>
      <c r="AG2" s="1">
        <v>31</v>
      </c>
      <c r="AH2" s="1">
        <v>32</v>
      </c>
      <c r="AI2" s="1">
        <v>33</v>
      </c>
      <c r="AJ2" s="1">
        <v>34</v>
      </c>
      <c r="AK2" s="1">
        <v>35</v>
      </c>
      <c r="AL2" s="1">
        <v>36</v>
      </c>
      <c r="AM2" s="1">
        <v>37</v>
      </c>
      <c r="AN2" s="1">
        <v>38</v>
      </c>
      <c r="AO2" s="1">
        <v>39</v>
      </c>
      <c r="AP2" s="1">
        <v>40</v>
      </c>
      <c r="AQ2" s="1">
        <v>41</v>
      </c>
      <c r="AR2" s="1">
        <v>42</v>
      </c>
      <c r="AS2" s="1">
        <v>43</v>
      </c>
      <c r="AT2" s="1">
        <v>44</v>
      </c>
      <c r="AU2" s="1">
        <v>45</v>
      </c>
    </row>
    <row r="3" spans="1:47" x14ac:dyDescent="0.25">
      <c r="A3" s="1" t="s">
        <v>15</v>
      </c>
      <c r="B3" s="6">
        <v>-1</v>
      </c>
      <c r="C3" s="6">
        <v>0.25</v>
      </c>
      <c r="D3" s="6">
        <v>0.26956521739130401</v>
      </c>
      <c r="E3" s="6">
        <v>0.27472527472527403</v>
      </c>
      <c r="F3" s="6">
        <v>0.25925925925925902</v>
      </c>
      <c r="G3" s="6">
        <v>0.26415094339622602</v>
      </c>
      <c r="H3" s="6">
        <v>0.26966292134831399</v>
      </c>
      <c r="I3" s="6">
        <v>0.194444444444444</v>
      </c>
      <c r="J3" s="6">
        <v>0.26415094339622602</v>
      </c>
      <c r="K3" s="6">
        <v>0.30303030303030298</v>
      </c>
      <c r="L3" s="6">
        <v>0.314285714285714</v>
      </c>
      <c r="M3" s="6">
        <v>-1</v>
      </c>
      <c r="N3" s="6">
        <v>0.23076923076923</v>
      </c>
      <c r="O3" s="6">
        <v>0.26470588235294101</v>
      </c>
      <c r="P3" s="6">
        <v>0.25714285714285701</v>
      </c>
      <c r="Q3" s="6">
        <v>-1</v>
      </c>
      <c r="R3" s="6">
        <v>0.22448979591836701</v>
      </c>
      <c r="S3" s="6">
        <v>0.25</v>
      </c>
      <c r="T3" s="6">
        <v>-1</v>
      </c>
      <c r="U3" s="6">
        <v>0.28155339805825202</v>
      </c>
      <c r="V3" s="6">
        <v>0.25961538461538403</v>
      </c>
      <c r="W3" s="6">
        <v>0.26086956521739102</v>
      </c>
      <c r="X3" s="6">
        <v>0.236363636363636</v>
      </c>
      <c r="Y3" s="6">
        <v>-1</v>
      </c>
      <c r="Z3" s="6">
        <v>-1</v>
      </c>
      <c r="AA3" s="6">
        <v>0.265306122448979</v>
      </c>
      <c r="AB3" s="6">
        <v>0.249999999999999</v>
      </c>
      <c r="AC3" s="6">
        <v>0.240384615384615</v>
      </c>
      <c r="AD3" s="6">
        <v>0.22772277227722701</v>
      </c>
      <c r="AE3" s="6">
        <v>0.23076923076923</v>
      </c>
      <c r="AF3" s="7">
        <v>0.30188679245283001</v>
      </c>
      <c r="AG3" s="7">
        <v>0.26041666666666602</v>
      </c>
      <c r="AH3" s="7">
        <v>-1</v>
      </c>
      <c r="AI3" s="7">
        <v>0.22950819672131101</v>
      </c>
      <c r="AJ3" s="7">
        <v>0.35294117647058798</v>
      </c>
      <c r="AK3" s="7">
        <v>0.23958333333333301</v>
      </c>
      <c r="AL3" s="7">
        <v>-1</v>
      </c>
      <c r="AM3" s="7">
        <v>0.25892857142857101</v>
      </c>
      <c r="AN3" s="7">
        <v>0.27173913043478198</v>
      </c>
      <c r="AO3" s="7">
        <v>0.28301886792452802</v>
      </c>
      <c r="AP3" s="7">
        <v>0.24175824175824101</v>
      </c>
      <c r="AQ3" s="7">
        <v>0.223300970873786</v>
      </c>
      <c r="AR3" s="7">
        <v>0.26470588235294101</v>
      </c>
      <c r="AS3" s="7">
        <v>-1</v>
      </c>
      <c r="AT3" s="7">
        <v>0.28301886792452802</v>
      </c>
      <c r="AU3" s="7">
        <v>0.23913043478260801</v>
      </c>
    </row>
    <row r="4" spans="1:47" x14ac:dyDescent="0.25">
      <c r="A4" s="1" t="s">
        <v>16</v>
      </c>
      <c r="B4" s="6">
        <v>-1</v>
      </c>
      <c r="C4" s="6">
        <v>0.26600011232058701</v>
      </c>
      <c r="D4" s="6">
        <v>0.26600011232058701</v>
      </c>
      <c r="E4" s="6">
        <v>0.26600011232058701</v>
      </c>
      <c r="F4" s="6">
        <v>0.26600011232058701</v>
      </c>
      <c r="G4" s="6">
        <v>0.26600011232058701</v>
      </c>
      <c r="H4" s="6">
        <v>0.26600011232058701</v>
      </c>
      <c r="I4" s="6">
        <v>0.26600011232058701</v>
      </c>
      <c r="J4" s="6">
        <v>0.26600011232058701</v>
      </c>
      <c r="K4" s="6">
        <v>0.26600011232058701</v>
      </c>
      <c r="L4" s="6">
        <v>0.26600011232058701</v>
      </c>
      <c r="M4" s="6">
        <v>-1</v>
      </c>
      <c r="N4" s="6">
        <v>0.26600011232058701</v>
      </c>
      <c r="O4" s="6">
        <v>0.26600011232058701</v>
      </c>
      <c r="P4" s="6">
        <v>0.26600011232058701</v>
      </c>
      <c r="Q4" s="6">
        <v>-1</v>
      </c>
      <c r="R4" s="6">
        <v>0.26600011232058701</v>
      </c>
      <c r="S4" s="6">
        <v>0.26600011232058701</v>
      </c>
      <c r="T4" s="6">
        <v>-1</v>
      </c>
      <c r="U4" s="6">
        <v>0.26600011232058701</v>
      </c>
      <c r="V4" s="6">
        <v>0.26600011232058701</v>
      </c>
      <c r="W4" s="6">
        <v>0.26600011232058701</v>
      </c>
      <c r="X4" s="6">
        <v>0.26600011232058701</v>
      </c>
      <c r="Y4" s="6">
        <v>-1</v>
      </c>
      <c r="Z4" s="6">
        <v>-1</v>
      </c>
      <c r="AA4" s="6">
        <v>0.26600011232058701</v>
      </c>
      <c r="AB4" s="6">
        <v>0.26600011232058701</v>
      </c>
      <c r="AC4" s="6">
        <v>0.26600011232058701</v>
      </c>
      <c r="AD4" s="6">
        <v>0.26600011232058701</v>
      </c>
      <c r="AE4" s="6">
        <v>0.26600011232058701</v>
      </c>
      <c r="AF4" s="7">
        <v>0.26600011232058701</v>
      </c>
      <c r="AG4" s="7">
        <v>0.26600011232058701</v>
      </c>
      <c r="AH4" s="7">
        <v>-1</v>
      </c>
      <c r="AI4" s="7">
        <v>0.26600011232058701</v>
      </c>
      <c r="AJ4" s="7">
        <v>0.26600011232058701</v>
      </c>
      <c r="AK4" s="7">
        <v>0.26600011232058701</v>
      </c>
      <c r="AL4" s="7">
        <v>-1</v>
      </c>
      <c r="AM4" s="7">
        <v>0.26600011232058701</v>
      </c>
      <c r="AN4" s="7">
        <v>0.26600011232058701</v>
      </c>
      <c r="AO4" s="7">
        <v>0.26600011232058701</v>
      </c>
      <c r="AP4" s="7">
        <v>0.26600011232058701</v>
      </c>
      <c r="AQ4" s="7">
        <v>0.26600011232058701</v>
      </c>
      <c r="AR4" s="7">
        <v>0.26600011232058701</v>
      </c>
      <c r="AS4" s="7">
        <v>-1</v>
      </c>
      <c r="AT4" s="7">
        <v>0.26600011232058701</v>
      </c>
      <c r="AU4" s="7">
        <v>0.26600011232058701</v>
      </c>
    </row>
    <row r="6" spans="1:47" x14ac:dyDescent="0.25">
      <c r="A6" s="8" t="s">
        <v>17</v>
      </c>
    </row>
    <row r="7" spans="1:47" x14ac:dyDescent="0.25">
      <c r="A7" s="1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47" x14ac:dyDescent="0.25">
      <c r="A8" s="1" t="s">
        <v>16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0.98476727471278402</v>
      </c>
      <c r="K8">
        <v>0</v>
      </c>
      <c r="L8">
        <v>0</v>
      </c>
      <c r="M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Model</vt:lpstr>
      <vt:lpstr>Sensitive_shortage</vt:lpstr>
      <vt:lpstr>Fairness</vt:lpstr>
      <vt:lpstr>Fairness_percentage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Yin Chen</dc:creator>
  <cp:lastModifiedBy>Sheng Yin Chen</cp:lastModifiedBy>
  <dcterms:created xsi:type="dcterms:W3CDTF">2015-06-05T18:17:20Z</dcterms:created>
  <dcterms:modified xsi:type="dcterms:W3CDTF">2024-04-12T18:24:29Z</dcterms:modified>
</cp:coreProperties>
</file>