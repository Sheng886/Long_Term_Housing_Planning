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baseline_model_workshop\result\"/>
    </mc:Choice>
  </mc:AlternateContent>
  <xr:revisionPtr revIDLastSave="0" documentId="13_ncr:1_{C0F6E4C6-1E56-4612-8B2B-5E789EA3BEDF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2" i="1"/>
  <c r="J3" i="1"/>
  <c r="J4" i="1"/>
  <c r="J5" i="1"/>
  <c r="J6" i="1"/>
  <c r="J2" i="1"/>
  <c r="H3" i="1"/>
  <c r="H4" i="1"/>
  <c r="H5" i="1"/>
  <c r="H6" i="1"/>
  <c r="H2" i="1"/>
  <c r="F3" i="1"/>
  <c r="F4" i="1"/>
  <c r="F5" i="1"/>
  <c r="F6" i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<sst xmlns="http://schemas.openxmlformats.org/spreadsheetml/2006/main" count="12" uniqueCount="12">
  <si>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OPT</t>
  </si>
  <si>
    <t>Operation_Cost</t>
  </si>
  <si>
    <t>Holding_Cost</t>
  </si>
  <si>
    <t>Unmet_Cost</t>
  </si>
  <si>
    <t>Replenish_Cost</t>
  </si>
  <si>
    <t>Victim_value</t>
  </si>
  <si>
    <t>factor</t>
  </si>
  <si>
    <t>Operation_Cost_per</t>
  </si>
  <si>
    <t>Holding_Cost_per</t>
  </si>
  <si>
    <t>Unmet_Cost_per</t>
  </si>
  <si>
    <t>Replenish_Cost_per</t>
  </si>
  <si>
    <t>Victim_value_per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</si>
</sst>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145" zoomScaleNormal="145" workbookViewId="0">
      <selection activeCell="J19" sqref="J19"/>
    </sheetView>
  </sheetViews>
  <sheetFormatPr defaultRowHeight="15" x14ac:dyDescent="0.25"/>
  <cols>
    <col min="1" max="1" width="6.140625" bestFit="1" customWidth="1"/>
    <col min="2" max="2" width="12" bestFit="1" customWidth="1"/>
    <col min="3" max="3" width="15" bestFit="1" customWidth="1"/>
    <col min="4" max="4" width="19.85546875" bestFit="1" customWidth="1"/>
    <col min="5" max="5" width="12.7109375" bestFit="1" customWidth="1"/>
    <col min="6" max="6" width="17.7109375" bestFit="1" customWidth="1"/>
    <col min="7" max="7" width="12" bestFit="1" customWidth="1"/>
    <col min="8" max="8" width="16.7109375" bestFit="1" customWidth="1"/>
    <col min="9" max="9" width="14.85546875" bestFit="1" customWidth="1"/>
    <col min="10" max="10" width="14.85546875" customWidth="1"/>
    <col min="11" max="11" width="12.5703125" bestFit="1" customWidth="1"/>
    <col min="12" max="12" width="16.7109375" bestFit="1" customWidth="1"/>
  </cols>
  <sheetData>
    <row r="1" spans="1:12" x14ac:dyDescent="0.25">
      <c r="A1" s="1" t="s">
        <v>6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8</v>
      </c>
      <c r="G1" s="1" t="s">
        <v>3</v>
      </c>
      <c r="H1" s="1" t="s">
        <v>9</v>
      </c>
      <c r="I1" s="1" t="s">
        <v>4</v>
      </c>
      <c r="J1" s="1" t="s">
        <v>10</v>
      </c>
      <c r="K1" s="1" t="s">
        <v>5</v>
      </c>
      <c r="L1" s="1" t="s">
        <v>11</v>
      </c>
    </row>
    <row r="2" spans="1:12" x14ac:dyDescent="0.25">
      <c r="A2" s="1">
        <v>0.2</v>
      </c>
      <c r="B2" s="2">
        <v>698095213.60000002</v>
      </c>
      <c r="C2" s="2">
        <v>22441648.68</v>
      </c>
      <c r="D2" s="3">
        <f>C2/B2</f>
        <v>3.2146973998390407E-2</v>
      </c>
      <c r="E2" s="2">
        <v>128709688.2</v>
      </c>
      <c r="F2" s="4">
        <f>E2/B2</f>
        <v>0.18437268397280412</v>
      </c>
      <c r="G2" s="2">
        <v>387501451.19999999</v>
      </c>
      <c r="H2" s="4">
        <f>G2/B2</f>
        <v>0.55508395366542873</v>
      </c>
      <c r="I2" s="2">
        <v>246603012</v>
      </c>
      <c r="J2" s="5">
        <f>I2/B2</f>
        <v>0.353251257415583</v>
      </c>
      <c r="K2" s="2">
        <v>87160586.450000003</v>
      </c>
      <c r="L2" s="4">
        <f>K2/B2</f>
        <v>0.12485486900923223</v>
      </c>
    </row>
    <row r="3" spans="1:12" x14ac:dyDescent="0.25">
      <c r="A3" s="1">
        <v>0.5</v>
      </c>
      <c r="B3" s="2">
        <v>1187617379.81902</v>
      </c>
      <c r="C3" s="2">
        <v>36929262.877802901</v>
      </c>
      <c r="D3" s="3">
        <f t="shared" ref="D3:D6" si="0">C3/B3</f>
        <v>3.1095252987481978E-2</v>
      </c>
      <c r="E3" s="2">
        <v>150788556.59999901</v>
      </c>
      <c r="F3" s="4">
        <f t="shared" ref="F3:F6" si="1">E3/B3</f>
        <v>0.12696728690765502</v>
      </c>
      <c r="G3" s="2">
        <v>729016402</v>
      </c>
      <c r="H3" s="4">
        <f t="shared" ref="H3:H6" si="2">G3/B3</f>
        <v>0.61384787254552819</v>
      </c>
      <c r="I3" s="2">
        <v>406236833.30872297</v>
      </c>
      <c r="J3" s="5">
        <f t="shared" ref="J3:J6" si="3">I3/B3</f>
        <v>0.34206036406323814</v>
      </c>
      <c r="K3" s="2">
        <v>135353674.9675</v>
      </c>
      <c r="L3" s="4">
        <f t="shared" ref="L3:L6" si="4">K3/B3</f>
        <v>0.11397077650389928</v>
      </c>
    </row>
    <row r="4" spans="1:12" x14ac:dyDescent="0.25">
      <c r="A4" s="1">
        <v>1</v>
      </c>
      <c r="B4" s="2">
        <v>1622973839.99944</v>
      </c>
      <c r="C4" s="2">
        <v>79335625.230220795</v>
      </c>
      <c r="D4" s="3">
        <f t="shared" si="0"/>
        <v>4.8882873694531127E-2</v>
      </c>
      <c r="E4" s="2">
        <v>433259783.69999999</v>
      </c>
      <c r="F4" s="4">
        <f t="shared" si="1"/>
        <v>0.26695426199854799</v>
      </c>
      <c r="G4" s="2">
        <v>504455619.99999797</v>
      </c>
      <c r="H4" s="4">
        <f t="shared" si="2"/>
        <v>0.31082178132961902</v>
      </c>
      <c r="I4" s="2">
        <v>868127699.281721</v>
      </c>
      <c r="J4" s="5">
        <f t="shared" si="3"/>
        <v>0.53489937908180984</v>
      </c>
      <c r="K4" s="2">
        <v>262204888.21249899</v>
      </c>
      <c r="L4" s="4">
        <f t="shared" si="4"/>
        <v>0.16155829610450745</v>
      </c>
    </row>
    <row r="5" spans="1:12" x14ac:dyDescent="0.25">
      <c r="A5" s="1">
        <v>2</v>
      </c>
      <c r="B5" s="2">
        <v>1809763739.4851</v>
      </c>
      <c r="C5" s="2">
        <v>103008999.659127</v>
      </c>
      <c r="D5" s="3">
        <f t="shared" si="0"/>
        <v>5.691847914271634E-2</v>
      </c>
      <c r="E5" s="2">
        <v>797916296.69999897</v>
      </c>
      <c r="F5" s="4">
        <f t="shared" si="1"/>
        <v>0.44089528334069505</v>
      </c>
      <c r="G5" s="2">
        <v>110680800</v>
      </c>
      <c r="H5" s="4">
        <f t="shared" si="2"/>
        <v>6.1157596201750646E-2</v>
      </c>
      <c r="I5" s="2">
        <v>1125018710.15097</v>
      </c>
      <c r="J5" s="5">
        <f t="shared" si="3"/>
        <v>0.62163844130894763</v>
      </c>
      <c r="K5" s="2">
        <v>326861067.02499801</v>
      </c>
      <c r="L5" s="4">
        <f t="shared" si="4"/>
        <v>0.18060979999411084</v>
      </c>
    </row>
    <row r="6" spans="1:12" x14ac:dyDescent="0.25">
      <c r="A6" s="1">
        <v>5</v>
      </c>
      <c r="B6" s="2">
        <v>1892998418.0108399</v>
      </c>
      <c r="C6" s="2">
        <v>106118118.84104399</v>
      </c>
      <c r="D6" s="3">
        <f t="shared" si="0"/>
        <v>5.6058218449306876E-2</v>
      </c>
      <c r="E6" s="2">
        <v>963772638.59999895</v>
      </c>
      <c r="F6" s="4">
        <f t="shared" si="1"/>
        <v>0.50912490440046421</v>
      </c>
      <c r="G6" s="2">
        <v>2.8954616482224E-10</v>
      </c>
      <c r="H6" s="4">
        <f t="shared" si="2"/>
        <v>1.5295636914820811E-19</v>
      </c>
      <c r="I6" s="2">
        <v>1158039202.5948</v>
      </c>
      <c r="J6" s="5">
        <f t="shared" si="3"/>
        <v>0.6117486372818346</v>
      </c>
      <c r="K6" s="2">
        <v>334931542.02499801</v>
      </c>
      <c r="L6" s="4">
        <f t="shared" si="4"/>
        <v>0.17693176013160306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2024-04-10T17:46:55Z</dcterms:modified>
</cp:coreProperties>
</file>