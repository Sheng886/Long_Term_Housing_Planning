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Yin\Desktop\bay\Long_Term_Housing_Planning\baseline_model_workshop\result\"/>
    </mc:Choice>
  </mc:AlternateContent>
  <xr:revisionPtr revIDLastSave="0" documentId="13_ncr:1_{F82FC978-175C-4F55-8AFB-E436CA0AB6CA}" xr6:coauthVersionLast="47" xr6:coauthVersionMax="47" xr10:uidLastSave="{00000000-0000-0000-0000-000000000000}"/>
  <bookViews>
    <workbookView xWindow="1068" yWindow="-108" windowWidth="29760" windowHeight="17496" activeTab="3" xr2:uid="{00000000-000D-0000-FFFF-FFFF00000000}"/>
  </bookViews>
  <sheets>
    <sheet name="Model" sheetId="2" r:id="rId1"/>
    <sheet name="Sensitive_shortage" sheetId="1" r:id="rId2"/>
    <sheet name="Fairness" sheetId="3" r:id="rId3"/>
    <sheet name="Fairness_percenta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D3" i="3" s="1"/>
  <c r="B4" i="3"/>
  <c r="D4" i="3" s="1"/>
  <c r="B2" i="3"/>
  <c r="D2" i="3" s="1"/>
  <c r="B3" i="1"/>
  <c r="D3" i="1" s="1"/>
  <c r="B4" i="1"/>
  <c r="F4" i="1" s="1"/>
  <c r="B5" i="1"/>
  <c r="B6" i="1"/>
  <c r="D6" i="1" s="1"/>
  <c r="B2" i="1"/>
  <c r="D2" i="1" s="1"/>
  <c r="D5" i="1"/>
  <c r="B3" i="2"/>
  <c r="B4" i="2"/>
  <c r="J4" i="2" s="1"/>
  <c r="B2" i="2"/>
  <c r="H2" i="2" s="1"/>
  <c r="H3" i="1"/>
  <c r="H5" i="1"/>
  <c r="L6" i="1"/>
  <c r="F3" i="2"/>
  <c r="H4" i="2"/>
  <c r="H3" i="3" l="1"/>
  <c r="J2" i="3"/>
  <c r="L4" i="3"/>
  <c r="L4" i="1"/>
  <c r="D4" i="1"/>
  <c r="L2" i="1"/>
  <c r="J4" i="3"/>
  <c r="F4" i="3"/>
  <c r="F3" i="3"/>
  <c r="F2" i="3"/>
  <c r="D2" i="2"/>
  <c r="D4" i="2"/>
  <c r="D3" i="2"/>
  <c r="J3" i="2"/>
  <c r="L2" i="2"/>
  <c r="L4" i="2"/>
  <c r="H3" i="2"/>
  <c r="J2" i="2"/>
  <c r="L3" i="2"/>
  <c r="F2" i="2"/>
  <c r="F4" i="2"/>
  <c r="J3" i="3"/>
  <c r="L3" i="3"/>
  <c r="L2" i="3"/>
  <c r="H4" i="3"/>
  <c r="H2" i="3"/>
  <c r="L5" i="1"/>
  <c r="F5" i="1"/>
  <c r="J6" i="1"/>
  <c r="J5" i="1"/>
  <c r="J2" i="1"/>
  <c r="F2" i="1"/>
  <c r="L3" i="1"/>
  <c r="F3" i="1"/>
  <c r="J3" i="1"/>
  <c r="H2" i="1"/>
  <c r="H6" i="1"/>
  <c r="F6" i="1"/>
  <c r="J4" i="1"/>
  <c r="H4" i="1"/>
</calcChain>
</file>

<file path=xl/sharedStrings.xml><?xml version="1.0" encoding="utf-8"?>
<sst xmlns="http://schemas.openxmlformats.org/spreadsheetml/2006/main" count="49" uniqueCount="22">
  <si>
    <t>Operation_Cost</t>
  </si>
  <si>
    <t>Holding_Cost</t>
  </si>
  <si>
    <t>Unmet_Cost</t>
  </si>
  <si>
    <t>Replenish_Cost</t>
  </si>
  <si>
    <t>factor</t>
  </si>
  <si>
    <t>Operation_Cost_per</t>
  </si>
  <si>
    <t>Holding_Cost_per</t>
  </si>
  <si>
    <t>Unmet_Cost_per</t>
  </si>
  <si>
    <t>Replenish_Cost_per</t>
  </si>
  <si>
    <t>Model</t>
  </si>
  <si>
    <t>Baseline</t>
  </si>
  <si>
    <t>AVG</t>
  </si>
  <si>
    <t>Perfect</t>
  </si>
  <si>
    <t>Total Cost</t>
  </si>
  <si>
    <t>Total_Cost</t>
  </si>
  <si>
    <t>Fairness</t>
  </si>
  <si>
    <t>-</t>
  </si>
  <si>
    <t>Group</t>
  </si>
  <si>
    <t>Region</t>
  </si>
  <si>
    <t>County</t>
  </si>
  <si>
    <t>Set_up_Cost</t>
  </si>
  <si>
    <t>Set_up_Cost_per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</si>
</sst>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9" fontId="0" fillId="0" borderId="0" xfId="1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1310B-BBCA-4657-8430-EE9ED976BD3D}">
  <dimension ref="A1:L11"/>
  <sheetViews>
    <sheetView zoomScale="140" zoomScaleNormal="140" workbookViewId="0">
      <selection activeCell="H18" sqref="H18"/>
    </sheetView>
  </sheetViews>
  <sheetFormatPr defaultColWidth="9.109375" defaultRowHeight="14.4" x14ac:dyDescent="0.3"/>
  <cols>
    <col min="1" max="1" width="8.5546875" style="1" bestFit="1" customWidth="1"/>
    <col min="2" max="2" width="15.6640625" style="1" bestFit="1" customWidth="1"/>
    <col min="3" max="4" width="15.6640625" style="1" customWidth="1"/>
    <col min="5" max="5" width="15.21875" style="1" bestFit="1" customWidth="1"/>
    <col min="6" max="6" width="19.33203125" style="1" bestFit="1" customWidth="1"/>
    <col min="7" max="7" width="14.77734375" style="1" bestFit="1" customWidth="1"/>
    <col min="8" max="8" width="17.109375" style="1" bestFit="1" customWidth="1"/>
    <col min="9" max="9" width="14.5546875" style="1" bestFit="1" customWidth="1"/>
    <col min="10" max="10" width="16" style="1" bestFit="1" customWidth="1"/>
    <col min="11" max="11" width="14.88671875" style="1" bestFit="1" customWidth="1"/>
    <col min="12" max="12" width="19" style="1" bestFit="1" customWidth="1"/>
    <col min="13" max="16384" width="9.109375" style="1"/>
  </cols>
  <sheetData>
    <row r="1" spans="1:12" x14ac:dyDescent="0.3">
      <c r="A1" s="1" t="s">
        <v>9</v>
      </c>
      <c r="B1" s="1" t="s">
        <v>13</v>
      </c>
      <c r="C1" s="1" t="s">
        <v>20</v>
      </c>
      <c r="D1" s="1" t="s">
        <v>21</v>
      </c>
      <c r="E1" s="1" t="s">
        <v>0</v>
      </c>
      <c r="F1" s="1" t="s">
        <v>5</v>
      </c>
      <c r="G1" s="1" t="s">
        <v>1</v>
      </c>
      <c r="H1" s="1" t="s">
        <v>6</v>
      </c>
      <c r="I1" s="1" t="s">
        <v>2</v>
      </c>
      <c r="J1" s="1" t="s">
        <v>7</v>
      </c>
      <c r="K1" s="1" t="s">
        <v>3</v>
      </c>
      <c r="L1" s="1" t="s">
        <v>8</v>
      </c>
    </row>
    <row r="2" spans="1:12" x14ac:dyDescent="0.3">
      <c r="A2" s="1" t="s">
        <v>12</v>
      </c>
      <c r="B2" s="2">
        <f>K2+I2+G2+E2+C2</f>
        <v>576447985.46000004</v>
      </c>
      <c r="C2" s="2">
        <v>205847520.5</v>
      </c>
      <c r="D2" s="3">
        <f>C2/B2</f>
        <v>0.35709643487735604</v>
      </c>
      <c r="E2" s="2">
        <v>75921419.239999995</v>
      </c>
      <c r="F2" s="7">
        <f>E2/B2</f>
        <v>0.13170558516119268</v>
      </c>
      <c r="G2" s="2">
        <v>55720893.420000002</v>
      </c>
      <c r="H2" s="7">
        <f>G2/B2</f>
        <v>9.6662482696570198E-2</v>
      </c>
      <c r="I2" s="2">
        <v>0</v>
      </c>
      <c r="J2" s="7">
        <f>I2/B2</f>
        <v>0</v>
      </c>
      <c r="K2" s="2">
        <v>238958152.30000001</v>
      </c>
      <c r="L2" s="7">
        <f>K2/B2</f>
        <v>0.41453549726488098</v>
      </c>
    </row>
    <row r="3" spans="1:12" x14ac:dyDescent="0.3">
      <c r="A3" s="1" t="s">
        <v>10</v>
      </c>
      <c r="B3" s="2">
        <f t="shared" ref="B3:B4" si="0">K3+I3+G3+E3+C3</f>
        <v>1318790663.289717</v>
      </c>
      <c r="C3" s="2">
        <v>459566909.99999899</v>
      </c>
      <c r="D3" s="3">
        <f t="shared" ref="D3:D4" si="1">C3/B3</f>
        <v>0.34847601123715233</v>
      </c>
      <c r="E3" s="2">
        <v>43638880.594717897</v>
      </c>
      <c r="F3" s="7">
        <f t="shared" ref="F3:F4" si="2">E3/B3</f>
        <v>3.3090073966599763E-2</v>
      </c>
      <c r="G3" s="2">
        <v>32387600.879999999</v>
      </c>
      <c r="H3" s="7">
        <f t="shared" ref="H3:H4" si="3">G3/B3</f>
        <v>2.4558560946442619E-2</v>
      </c>
      <c r="I3" s="2">
        <v>633566664</v>
      </c>
      <c r="J3" s="7">
        <f>I3/B3</f>
        <v>0.48041488436047236</v>
      </c>
      <c r="K3" s="2">
        <v>149630607.815</v>
      </c>
      <c r="L3" s="7">
        <f t="shared" ref="L3:L4" si="4">K3/B3</f>
        <v>0.11346046948933287</v>
      </c>
    </row>
    <row r="4" spans="1:12" x14ac:dyDescent="0.3">
      <c r="A4" s="1" t="s">
        <v>11</v>
      </c>
      <c r="B4" s="2">
        <f t="shared" si="0"/>
        <v>1837817876.8916099</v>
      </c>
      <c r="C4" s="2">
        <v>797093795.99999905</v>
      </c>
      <c r="D4" s="3">
        <f t="shared" si="1"/>
        <v>0.43371751141531079</v>
      </c>
      <c r="E4" s="2">
        <v>64534160.892991103</v>
      </c>
      <c r="F4" s="7">
        <f t="shared" si="2"/>
        <v>3.5114557162835333E-2</v>
      </c>
      <c r="G4" s="2">
        <v>61839390.863999903</v>
      </c>
      <c r="H4" s="7">
        <f t="shared" si="3"/>
        <v>3.3648269309792464E-2</v>
      </c>
      <c r="I4" s="2">
        <v>210595987.19999999</v>
      </c>
      <c r="J4" s="7">
        <f>I4/B4</f>
        <v>0.11459023761167844</v>
      </c>
      <c r="K4" s="1">
        <v>703754541.93462002</v>
      </c>
      <c r="L4" s="7">
        <f t="shared" si="4"/>
        <v>0.38292942450038303</v>
      </c>
    </row>
    <row r="8" spans="1:12" x14ac:dyDescent="0.3">
      <c r="B8" s="2"/>
      <c r="C8" s="2"/>
      <c r="D8" s="2"/>
      <c r="E8" s="2"/>
      <c r="F8" s="2"/>
      <c r="G8" s="2"/>
      <c r="H8" s="2"/>
      <c r="I8" s="2"/>
      <c r="J8" s="2"/>
    </row>
    <row r="9" spans="1:12" x14ac:dyDescent="0.3">
      <c r="B9" s="2"/>
      <c r="C9" s="2"/>
      <c r="D9" s="2"/>
      <c r="E9" s="2"/>
      <c r="F9" s="2"/>
      <c r="G9" s="2"/>
      <c r="H9" s="2"/>
      <c r="I9" s="2"/>
      <c r="J9" s="2"/>
    </row>
    <row r="10" spans="1:12" x14ac:dyDescent="0.3">
      <c r="B10" s="2"/>
      <c r="C10" s="2"/>
      <c r="D10" s="2"/>
      <c r="E10" s="2"/>
      <c r="F10" s="2"/>
      <c r="G10" s="2"/>
      <c r="H10" s="2"/>
      <c r="I10" s="2"/>
      <c r="J10" s="2"/>
    </row>
    <row r="11" spans="1:12" x14ac:dyDescent="0.3">
      <c r="B11" s="2"/>
      <c r="C11" s="2"/>
      <c r="D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zoomScale="145" zoomScaleNormal="145" workbookViewId="0">
      <selection activeCell="A4" sqref="A4:XFD4"/>
    </sheetView>
  </sheetViews>
  <sheetFormatPr defaultRowHeight="14.4" x14ac:dyDescent="0.3"/>
  <cols>
    <col min="1" max="1" width="6" bestFit="1" customWidth="1"/>
    <col min="2" max="4" width="15.44140625" bestFit="1" customWidth="1"/>
    <col min="5" max="5" width="14.44140625" bestFit="1" customWidth="1"/>
    <col min="6" max="6" width="18.109375" bestFit="1" customWidth="1"/>
    <col min="7" max="7" width="14.33203125" bestFit="1" customWidth="1"/>
    <col min="8" max="8" width="16.109375" bestFit="1" customWidth="1"/>
    <col min="9" max="9" width="11.33203125" bestFit="1" customWidth="1"/>
    <col min="10" max="10" width="15.109375" bestFit="1" customWidth="1"/>
    <col min="11" max="11" width="13.6640625" bestFit="1" customWidth="1"/>
    <col min="12" max="12" width="17.5546875" bestFit="1" customWidth="1"/>
  </cols>
  <sheetData>
    <row r="1" spans="1:12" x14ac:dyDescent="0.3">
      <c r="A1" s="1" t="s">
        <v>4</v>
      </c>
      <c r="B1" s="1" t="s">
        <v>14</v>
      </c>
      <c r="C1" s="1" t="s">
        <v>20</v>
      </c>
      <c r="D1" s="1" t="s">
        <v>21</v>
      </c>
      <c r="E1" s="1" t="s">
        <v>0</v>
      </c>
      <c r="F1" s="1" t="s">
        <v>5</v>
      </c>
      <c r="G1" s="1" t="s">
        <v>1</v>
      </c>
      <c r="H1" s="1" t="s">
        <v>6</v>
      </c>
      <c r="I1" s="1" t="s">
        <v>2</v>
      </c>
      <c r="J1" s="1" t="s">
        <v>7</v>
      </c>
      <c r="K1" s="1" t="s">
        <v>3</v>
      </c>
      <c r="L1" s="1" t="s">
        <v>8</v>
      </c>
    </row>
    <row r="2" spans="1:12" x14ac:dyDescent="0.3">
      <c r="A2" s="1">
        <v>0.2</v>
      </c>
      <c r="B2" s="2">
        <f>E2+G2+I2+K2+C2</f>
        <v>661992586.80999994</v>
      </c>
      <c r="C2" s="2">
        <v>185216010</v>
      </c>
      <c r="D2" s="7">
        <f>C2/B2</f>
        <v>0.27978562553474529</v>
      </c>
      <c r="E2" s="2">
        <v>12761813.33</v>
      </c>
      <c r="F2" s="7">
        <f>E2/B2</f>
        <v>1.927787951749798E-2</v>
      </c>
      <c r="G2" s="2">
        <v>15405810.779999999</v>
      </c>
      <c r="H2" s="3">
        <f>G2/B2</f>
        <v>2.3271878094945582E-2</v>
      </c>
      <c r="I2" s="2">
        <v>308840412</v>
      </c>
      <c r="J2" s="3">
        <f>I2/B2</f>
        <v>0.4665315264151757</v>
      </c>
      <c r="K2" s="2">
        <v>139768540.69999999</v>
      </c>
      <c r="L2" s="3">
        <f>K2/B2</f>
        <v>0.21113309043763551</v>
      </c>
    </row>
    <row r="3" spans="1:12" x14ac:dyDescent="0.3">
      <c r="A3" s="1">
        <v>0.5</v>
      </c>
      <c r="B3" s="2">
        <f t="shared" ref="B3:B6" si="0">E3+G3+I3+K3+C3</f>
        <v>1092242678.76</v>
      </c>
      <c r="C3" s="2">
        <v>243699720</v>
      </c>
      <c r="D3" s="7">
        <f t="shared" ref="D3:D6" si="1">C3/B3</f>
        <v>0.22311865736345987</v>
      </c>
      <c r="E3" s="2">
        <v>23103436.800000001</v>
      </c>
      <c r="F3" s="7">
        <f t="shared" ref="F3:F6" si="2">E3/B3</f>
        <v>2.1152292662862105E-2</v>
      </c>
      <c r="G3" s="2">
        <v>17275208.460000001</v>
      </c>
      <c r="H3" s="3">
        <f t="shared" ref="H3:H6" si="3">G3/B3</f>
        <v>1.5816273064528277E-2</v>
      </c>
      <c r="I3" s="2">
        <v>555276188</v>
      </c>
      <c r="J3" s="3">
        <f t="shared" ref="J3:J6" si="4">I3/B3</f>
        <v>0.50838169831487756</v>
      </c>
      <c r="K3" s="2">
        <v>252888125.5</v>
      </c>
      <c r="L3" s="3">
        <f t="shared" ref="L3:L6" si="5">K3/B3</f>
        <v>0.23153107859427224</v>
      </c>
    </row>
    <row r="4" spans="1:12" x14ac:dyDescent="0.3">
      <c r="A4" s="1">
        <v>1</v>
      </c>
      <c r="B4" s="2">
        <f t="shared" si="0"/>
        <v>1645807788.6142578</v>
      </c>
      <c r="C4" s="2">
        <v>459566909.99999899</v>
      </c>
      <c r="D4" s="7">
        <f t="shared" si="1"/>
        <v>0.2792348615550948</v>
      </c>
      <c r="E4" s="2">
        <v>43638880.594717897</v>
      </c>
      <c r="F4" s="7">
        <f t="shared" si="2"/>
        <v>2.6515174430825298E-2</v>
      </c>
      <c r="G4" s="2">
        <v>32387600.879999999</v>
      </c>
      <c r="H4" s="3">
        <f t="shared" si="3"/>
        <v>1.967884773912135E-2</v>
      </c>
      <c r="I4" s="2">
        <v>633566664</v>
      </c>
      <c r="J4" s="3">
        <f t="shared" si="4"/>
        <v>0.38495787198422021</v>
      </c>
      <c r="K4" s="2">
        <v>476647733.13954097</v>
      </c>
      <c r="L4" s="3">
        <f t="shared" si="5"/>
        <v>0.28961324429073837</v>
      </c>
    </row>
    <row r="5" spans="1:12" x14ac:dyDescent="0.3">
      <c r="A5" s="1">
        <v>2</v>
      </c>
      <c r="B5" s="2">
        <f t="shared" si="0"/>
        <v>2044395908.02</v>
      </c>
      <c r="C5" s="2">
        <v>763614720</v>
      </c>
      <c r="D5" s="7">
        <f t="shared" si="1"/>
        <v>0.37351606751138622</v>
      </c>
      <c r="E5" s="2">
        <v>63301412.859999999</v>
      </c>
      <c r="F5" s="7">
        <f t="shared" si="2"/>
        <v>3.0963382685160769E-2</v>
      </c>
      <c r="G5" s="2">
        <v>58685730.960000001</v>
      </c>
      <c r="H5" s="3">
        <f t="shared" si="3"/>
        <v>2.8705658590775212E-2</v>
      </c>
      <c r="I5" s="2">
        <v>468936048</v>
      </c>
      <c r="J5" s="3">
        <f t="shared" si="4"/>
        <v>0.22937633858510564</v>
      </c>
      <c r="K5" s="2">
        <v>689857996.20000005</v>
      </c>
      <c r="L5" s="3">
        <f t="shared" si="5"/>
        <v>0.33743855262757222</v>
      </c>
    </row>
    <row r="6" spans="1:12" x14ac:dyDescent="0.3">
      <c r="A6" s="1">
        <v>5</v>
      </c>
      <c r="B6" s="2">
        <f t="shared" si="0"/>
        <v>2299219852.5900002</v>
      </c>
      <c r="C6" s="2">
        <v>1052011260</v>
      </c>
      <c r="D6" s="7">
        <f t="shared" si="1"/>
        <v>0.45755139892992042</v>
      </c>
      <c r="E6" s="2">
        <v>72677394.590000004</v>
      </c>
      <c r="F6" s="7">
        <f t="shared" si="2"/>
        <v>3.1609589012608415E-2</v>
      </c>
      <c r="G6" s="2">
        <v>88052852.700000003</v>
      </c>
      <c r="H6" s="3">
        <f t="shared" si="3"/>
        <v>3.8296839078181752E-2</v>
      </c>
      <c r="I6" s="2">
        <v>294472200</v>
      </c>
      <c r="J6" s="3">
        <f t="shared" si="4"/>
        <v>0.12807483358682997</v>
      </c>
      <c r="K6" s="2">
        <v>792006145.29999995</v>
      </c>
      <c r="L6" s="3">
        <f t="shared" si="5"/>
        <v>0.34446733939245938</v>
      </c>
    </row>
    <row r="10" spans="1:12" x14ac:dyDescent="0.3">
      <c r="B10" s="2"/>
      <c r="C10" s="2"/>
      <c r="D10" s="2"/>
      <c r="E10" s="2"/>
      <c r="F10" s="2"/>
      <c r="G10" s="2"/>
      <c r="H10" s="2"/>
    </row>
    <row r="11" spans="1:12" x14ac:dyDescent="0.3">
      <c r="B11" s="2"/>
      <c r="C11" s="2"/>
      <c r="D11" s="2"/>
      <c r="E11" s="2"/>
      <c r="F11" s="2"/>
      <c r="G11" s="2"/>
      <c r="H11" s="2"/>
    </row>
    <row r="12" spans="1:12" x14ac:dyDescent="0.3">
      <c r="B12" s="2"/>
      <c r="C12" s="2"/>
      <c r="D12" s="2"/>
      <c r="E12" s="2"/>
      <c r="F12" s="2"/>
      <c r="G12" s="2"/>
      <c r="H12" s="2"/>
    </row>
    <row r="13" spans="1:12" x14ac:dyDescent="0.3">
      <c r="B13" s="2"/>
      <c r="C13" s="2"/>
      <c r="D13" s="2"/>
      <c r="E13" s="2"/>
      <c r="F13" s="2"/>
      <c r="G13" s="2"/>
      <c r="H13" s="2"/>
    </row>
    <row r="14" spans="1:12" x14ac:dyDescent="0.3">
      <c r="B14" s="2"/>
      <c r="C14" s="2"/>
      <c r="D14" s="2"/>
      <c r="E14" s="2"/>
      <c r="F14" s="2"/>
      <c r="G14" s="2"/>
      <c r="H14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507-B5AA-4412-B2C5-12DBBE5F4A42}">
  <dimension ref="A1:L12"/>
  <sheetViews>
    <sheetView zoomScale="145" zoomScaleNormal="145" workbookViewId="0">
      <selection activeCell="F14" sqref="F14"/>
    </sheetView>
  </sheetViews>
  <sheetFormatPr defaultRowHeight="14.4" x14ac:dyDescent="0.3"/>
  <cols>
    <col min="1" max="1" width="8.5546875" style="1" bestFit="1" customWidth="1"/>
    <col min="2" max="2" width="14" style="1" bestFit="1" customWidth="1"/>
    <col min="3" max="3" width="11.5546875" style="1" bestFit="1" customWidth="1"/>
    <col min="4" max="4" width="15.109375" style="1" bestFit="1" customWidth="1"/>
    <col min="5" max="5" width="15" style="1" bestFit="1" customWidth="1"/>
    <col min="6" max="6" width="19.109375" style="1" bestFit="1" customWidth="1"/>
    <col min="7" max="7" width="14" style="1" bestFit="1" customWidth="1"/>
    <col min="8" max="8" width="16.88671875" style="1" bestFit="1" customWidth="1"/>
    <col min="9" max="9" width="11.88671875" style="1" bestFit="1" customWidth="1"/>
    <col min="10" max="10" width="16" style="1" bestFit="1" customWidth="1"/>
    <col min="11" max="11" width="14.88671875" style="1" bestFit="1" customWidth="1"/>
    <col min="12" max="12" width="19" style="1" bestFit="1" customWidth="1"/>
    <col min="13" max="16384" width="8.88671875" style="1"/>
  </cols>
  <sheetData>
    <row r="1" spans="1:12" x14ac:dyDescent="0.3">
      <c r="A1" s="1" t="s">
        <v>15</v>
      </c>
      <c r="B1" s="1" t="s">
        <v>13</v>
      </c>
      <c r="C1" s="1" t="s">
        <v>20</v>
      </c>
      <c r="D1" s="1" t="s">
        <v>21</v>
      </c>
      <c r="E1" s="1" t="s">
        <v>0</v>
      </c>
      <c r="F1" s="1" t="s">
        <v>5</v>
      </c>
      <c r="G1" s="1" t="s">
        <v>1</v>
      </c>
      <c r="H1" s="1" t="s">
        <v>6</v>
      </c>
      <c r="I1" s="1" t="s">
        <v>2</v>
      </c>
      <c r="J1" s="1" t="s">
        <v>7</v>
      </c>
      <c r="K1" s="1" t="s">
        <v>3</v>
      </c>
      <c r="L1" s="1" t="s">
        <v>8</v>
      </c>
    </row>
    <row r="2" spans="1:12" x14ac:dyDescent="0.3">
      <c r="A2" s="1" t="s">
        <v>16</v>
      </c>
      <c r="B2" s="2">
        <f>K2+I2+G2+E2+C2</f>
        <v>1645807788.6142581</v>
      </c>
      <c r="C2" s="2">
        <v>459566909.99999899</v>
      </c>
      <c r="D2" s="7">
        <f>C2/B2</f>
        <v>0.27923486155509475</v>
      </c>
      <c r="E2" s="2">
        <v>43638880.594717897</v>
      </c>
      <c r="F2" s="7">
        <f>E2/B2</f>
        <v>2.6515174430825295E-2</v>
      </c>
      <c r="G2" s="2">
        <v>32387600.879999999</v>
      </c>
      <c r="H2" s="7">
        <f>G2/B2</f>
        <v>1.967884773912135E-2</v>
      </c>
      <c r="I2" s="2">
        <v>633566664</v>
      </c>
      <c r="J2" s="7">
        <f>I2/B2</f>
        <v>0.38495787198422016</v>
      </c>
      <c r="K2" s="2">
        <v>476647733.13954097</v>
      </c>
      <c r="L2" s="7">
        <f>K2/B2</f>
        <v>0.28961324429073837</v>
      </c>
    </row>
    <row r="3" spans="1:12" x14ac:dyDescent="0.3">
      <c r="A3" s="1" t="s">
        <v>17</v>
      </c>
      <c r="B3" s="2">
        <f t="shared" ref="B3:B4" si="0">K3+I3+G3+E3+C3</f>
        <v>2217907573.3800001</v>
      </c>
      <c r="C3" s="2">
        <v>1044514410</v>
      </c>
      <c r="D3" s="7">
        <f t="shared" ref="D3:D4" si="1">C3/B3</f>
        <v>0.47094586922222503</v>
      </c>
      <c r="E3" s="2">
        <v>72440025.260000005</v>
      </c>
      <c r="F3" s="7">
        <f>E3/B3</f>
        <v>3.2661426530774848E-2</v>
      </c>
      <c r="G3" s="2">
        <v>86840907.719999999</v>
      </c>
      <c r="H3" s="7">
        <f>G3/B3</f>
        <v>3.9154430402010852E-2</v>
      </c>
      <c r="I3" s="2">
        <v>223661987.09999999</v>
      </c>
      <c r="J3" s="7">
        <f>I3/B3</f>
        <v>0.10084369149754438</v>
      </c>
      <c r="K3" s="2">
        <v>790450243.29999995</v>
      </c>
      <c r="L3" s="7">
        <f>K3/B3</f>
        <v>0.35639458234744481</v>
      </c>
    </row>
    <row r="4" spans="1:12" x14ac:dyDescent="0.3">
      <c r="A4" s="1" t="s">
        <v>18</v>
      </c>
      <c r="B4" s="2">
        <f t="shared" si="0"/>
        <v>1646347936.0147882</v>
      </c>
      <c r="C4" s="2">
        <v>457190550</v>
      </c>
      <c r="D4" s="7">
        <f t="shared" si="1"/>
        <v>0.27769983488829991</v>
      </c>
      <c r="E4" s="2">
        <v>43619317.526989803</v>
      </c>
      <c r="F4" s="7">
        <f t="shared" ref="F4" si="2">E4/B4</f>
        <v>2.6494592408319452E-2</v>
      </c>
      <c r="G4" s="2">
        <v>32638423.630647399</v>
      </c>
      <c r="H4" s="7">
        <f t="shared" ref="H4" si="3">G4/B4</f>
        <v>1.9824742338277045E-2</v>
      </c>
      <c r="I4" s="2">
        <v>638471273.73983395</v>
      </c>
      <c r="J4" s="7">
        <f>I4/B4</f>
        <v>0.38781065640677487</v>
      </c>
      <c r="K4" s="2">
        <v>474428371.11731702</v>
      </c>
      <c r="L4" s="7">
        <f t="shared" ref="L4" si="4">K4/B4</f>
        <v>0.28817017395832878</v>
      </c>
    </row>
    <row r="5" spans="1:12" x14ac:dyDescent="0.3">
      <c r="C5" s="2"/>
      <c r="D5" s="2"/>
    </row>
    <row r="6" spans="1:12" x14ac:dyDescent="0.3">
      <c r="C6" s="2"/>
      <c r="D6" s="2"/>
    </row>
    <row r="9" spans="1:12" x14ac:dyDescent="0.3">
      <c r="B9" s="2"/>
      <c r="E9" s="2"/>
      <c r="F9" s="2"/>
      <c r="G9" s="2"/>
      <c r="H9" s="2"/>
      <c r="I9" s="2"/>
    </row>
    <row r="10" spans="1:12" x14ac:dyDescent="0.3">
      <c r="B10" s="2"/>
      <c r="C10" s="2"/>
      <c r="D10" s="2"/>
      <c r="E10" s="2"/>
      <c r="F10" s="2"/>
      <c r="G10" s="2"/>
      <c r="H10" s="2"/>
    </row>
    <row r="11" spans="1:12" x14ac:dyDescent="0.3">
      <c r="B11" s="2"/>
      <c r="C11" s="2"/>
      <c r="D11" s="2"/>
      <c r="E11" s="2"/>
      <c r="F11" s="2"/>
      <c r="G11" s="2"/>
      <c r="H11" s="2"/>
    </row>
    <row r="12" spans="1:12" x14ac:dyDescent="0.3">
      <c r="B12" s="2"/>
      <c r="C12" s="2"/>
      <c r="D12" s="2"/>
      <c r="E12" s="2"/>
      <c r="F12" s="2"/>
      <c r="G12" s="2"/>
      <c r="H1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DEDB-5048-49DF-86F9-4DCBDC438843}">
  <dimension ref="A1:AU8"/>
  <sheetViews>
    <sheetView tabSelected="1" workbookViewId="0">
      <selection activeCell="P24" sqref="P24"/>
    </sheetView>
  </sheetViews>
  <sheetFormatPr defaultColWidth="9.109375" defaultRowHeight="14.4" x14ac:dyDescent="0.3"/>
  <cols>
    <col min="1" max="16384" width="9.109375" style="1"/>
  </cols>
  <sheetData>
    <row r="1" spans="1:47" x14ac:dyDescent="0.3">
      <c r="A1" s="6" t="s">
        <v>18</v>
      </c>
    </row>
    <row r="2" spans="1:47" x14ac:dyDescent="0.3">
      <c r="A2" s="1" t="s">
        <v>19</v>
      </c>
      <c r="B2" s="1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1">
        <v>12</v>
      </c>
      <c r="O2" s="1">
        <v>13</v>
      </c>
      <c r="P2" s="1">
        <v>14</v>
      </c>
      <c r="Q2" s="1">
        <v>15</v>
      </c>
      <c r="R2" s="1">
        <v>16</v>
      </c>
      <c r="S2" s="1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AD2" s="1">
        <v>28</v>
      </c>
      <c r="AE2" s="1">
        <v>29</v>
      </c>
      <c r="AF2" s="1">
        <v>30</v>
      </c>
      <c r="AG2" s="1">
        <v>31</v>
      </c>
      <c r="AH2" s="1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1">
        <v>43</v>
      </c>
      <c r="AT2" s="1">
        <v>44</v>
      </c>
      <c r="AU2" s="1">
        <v>45</v>
      </c>
    </row>
    <row r="3" spans="1:47" x14ac:dyDescent="0.3">
      <c r="A3" s="1" t="s">
        <v>15</v>
      </c>
      <c r="B3" s="4">
        <v>-1</v>
      </c>
      <c r="C3" s="4">
        <v>0.25</v>
      </c>
      <c r="D3" s="4">
        <v>0.26956521739130401</v>
      </c>
      <c r="E3" s="4">
        <v>0.27472527472527403</v>
      </c>
      <c r="F3" s="4">
        <v>0.25925925925925902</v>
      </c>
      <c r="G3" s="4">
        <v>0.26415094339622602</v>
      </c>
      <c r="H3" s="4">
        <v>0.26966292134831399</v>
      </c>
      <c r="I3" s="4">
        <v>0.194444444444444</v>
      </c>
      <c r="J3" s="4">
        <v>0.26415094339622602</v>
      </c>
      <c r="K3" s="4">
        <v>0.30303030303030298</v>
      </c>
      <c r="L3" s="4">
        <v>0.314285714285714</v>
      </c>
      <c r="M3" s="4">
        <v>-1</v>
      </c>
      <c r="N3" s="4">
        <v>0.23076923076923</v>
      </c>
      <c r="O3" s="4">
        <v>0.26470588235294101</v>
      </c>
      <c r="P3" s="4">
        <v>0.25714285714285701</v>
      </c>
      <c r="Q3" s="4">
        <v>-1</v>
      </c>
      <c r="R3" s="4">
        <v>0.22448979591836701</v>
      </c>
      <c r="S3" s="4">
        <v>0.25</v>
      </c>
      <c r="T3" s="4">
        <v>-1</v>
      </c>
      <c r="U3" s="4">
        <v>0.28155339805825202</v>
      </c>
      <c r="V3" s="4">
        <v>0.25961538461538403</v>
      </c>
      <c r="W3" s="4">
        <v>0.26086956521739102</v>
      </c>
      <c r="X3" s="4">
        <v>0.236363636363636</v>
      </c>
      <c r="Y3" s="4">
        <v>-1</v>
      </c>
      <c r="Z3" s="4">
        <v>-1</v>
      </c>
      <c r="AA3" s="4">
        <v>0.265306122448979</v>
      </c>
      <c r="AB3" s="4">
        <v>0.249999999999999</v>
      </c>
      <c r="AC3" s="4">
        <v>0.240384615384615</v>
      </c>
      <c r="AD3" s="4">
        <v>0.22772277227722701</v>
      </c>
      <c r="AE3" s="4">
        <v>0.23076923076923</v>
      </c>
      <c r="AF3" s="5">
        <v>0.30188679245283001</v>
      </c>
      <c r="AG3" s="5">
        <v>0.26041666666666602</v>
      </c>
      <c r="AH3" s="5">
        <v>-1</v>
      </c>
      <c r="AI3" s="5">
        <v>0.22950819672131101</v>
      </c>
      <c r="AJ3" s="5">
        <v>0.35294117647058798</v>
      </c>
      <c r="AK3" s="5">
        <v>0.23958333333333301</v>
      </c>
      <c r="AL3" s="5">
        <v>-1</v>
      </c>
      <c r="AM3" s="5">
        <v>0.25892857142857101</v>
      </c>
      <c r="AN3" s="5">
        <v>0.27173913043478198</v>
      </c>
      <c r="AO3" s="5">
        <v>0.28301886792452802</v>
      </c>
      <c r="AP3" s="5">
        <v>0.24175824175824101</v>
      </c>
      <c r="AQ3" s="5">
        <v>0.223300970873786</v>
      </c>
      <c r="AR3" s="5">
        <v>0.26470588235294101</v>
      </c>
      <c r="AS3" s="5">
        <v>-1</v>
      </c>
      <c r="AT3" s="5">
        <v>0.28301886792452802</v>
      </c>
      <c r="AU3" s="5">
        <v>0.23913043478260801</v>
      </c>
    </row>
    <row r="4" spans="1:47" x14ac:dyDescent="0.3">
      <c r="A4" s="1" t="s">
        <v>16</v>
      </c>
      <c r="B4" s="4">
        <v>-1</v>
      </c>
      <c r="C4" s="4">
        <v>0.26600011232058701</v>
      </c>
      <c r="D4" s="4">
        <v>0.26600011232058701</v>
      </c>
      <c r="E4" s="4">
        <v>0.26600011232058701</v>
      </c>
      <c r="F4" s="4">
        <v>0.26600011232058701</v>
      </c>
      <c r="G4" s="4">
        <v>0.26600011232058701</v>
      </c>
      <c r="H4" s="4">
        <v>0.26600011232058701</v>
      </c>
      <c r="I4" s="4">
        <v>0.26600011232058701</v>
      </c>
      <c r="J4" s="4">
        <v>0.26600011232058701</v>
      </c>
      <c r="K4" s="4">
        <v>0.26600011232058701</v>
      </c>
      <c r="L4" s="4">
        <v>0.26600011232058701</v>
      </c>
      <c r="M4" s="4">
        <v>-1</v>
      </c>
      <c r="N4" s="4">
        <v>0.26600011232058701</v>
      </c>
      <c r="O4" s="4">
        <v>0.26600011232058701</v>
      </c>
      <c r="P4" s="4">
        <v>0.26600011232058701</v>
      </c>
      <c r="Q4" s="4">
        <v>-1</v>
      </c>
      <c r="R4" s="4">
        <v>0.26600011232058701</v>
      </c>
      <c r="S4" s="4">
        <v>0.26600011232058701</v>
      </c>
      <c r="T4" s="4">
        <v>-1</v>
      </c>
      <c r="U4" s="4">
        <v>0.26600011232058701</v>
      </c>
      <c r="V4" s="4">
        <v>0.26600011232058701</v>
      </c>
      <c r="W4" s="4">
        <v>0.26600011232058701</v>
      </c>
      <c r="X4" s="4">
        <v>0.26600011232058701</v>
      </c>
      <c r="Y4" s="4">
        <v>-1</v>
      </c>
      <c r="Z4" s="4">
        <v>-1</v>
      </c>
      <c r="AA4" s="4">
        <v>0.26600011232058701</v>
      </c>
      <c r="AB4" s="4">
        <v>0.26600011232058701</v>
      </c>
      <c r="AC4" s="4">
        <v>0.26600011232058701</v>
      </c>
      <c r="AD4" s="4">
        <v>0.26600011232058701</v>
      </c>
      <c r="AE4" s="4">
        <v>0.26600011232058701</v>
      </c>
      <c r="AF4" s="5">
        <v>0.26600011232058701</v>
      </c>
      <c r="AG4" s="5">
        <v>0.26600011232058701</v>
      </c>
      <c r="AH4" s="5">
        <v>-1</v>
      </c>
      <c r="AI4" s="5">
        <v>0.26600011232058701</v>
      </c>
      <c r="AJ4" s="5">
        <v>0.26600011232058701</v>
      </c>
      <c r="AK4" s="5">
        <v>0.26600011232058701</v>
      </c>
      <c r="AL4" s="5">
        <v>-1</v>
      </c>
      <c r="AM4" s="5">
        <v>0.26600011232058701</v>
      </c>
      <c r="AN4" s="5">
        <v>0.26600011232058701</v>
      </c>
      <c r="AO4" s="5">
        <v>0.26600011232058701</v>
      </c>
      <c r="AP4" s="5">
        <v>0.26600011232058701</v>
      </c>
      <c r="AQ4" s="5">
        <v>0.26600011232058701</v>
      </c>
      <c r="AR4" s="5">
        <v>0.26600011232058701</v>
      </c>
      <c r="AS4" s="5">
        <v>-1</v>
      </c>
      <c r="AT4" s="5">
        <v>0.26600011232058701</v>
      </c>
      <c r="AU4" s="5">
        <v>0.26600011232058701</v>
      </c>
    </row>
    <row r="6" spans="1:47" x14ac:dyDescent="0.3">
      <c r="A6" s="6" t="s">
        <v>17</v>
      </c>
    </row>
    <row r="7" spans="1:47" x14ac:dyDescent="0.3">
      <c r="A7" s="1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47" x14ac:dyDescent="0.3">
      <c r="A8" s="1" t="s">
        <v>16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0.98476727471278402</v>
      </c>
      <c r="K8">
        <v>0</v>
      </c>
      <c r="L8">
        <v>0</v>
      </c>
      <c r="M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Model</vt:lpstr>
      <vt:lpstr>Sensitive_shortage</vt:lpstr>
      <vt:lpstr>Fairness</vt:lpstr>
      <vt:lpstr>Fairness_percentage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Yin Chen</dc:creator>
  <cp:lastModifiedBy>Sheng Yin Chen</cp:lastModifiedBy>
  <dcterms:created xsi:type="dcterms:W3CDTF">2015-06-05T18:17:20Z</dcterms:created>
  <dcterms:modified xsi:type="dcterms:W3CDTF">2024-04-15T04:19:17Z</dcterms:modified>
</cp:coreProperties>
</file>